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hz-my.sharepoint.com/personal/kopple_ethz_ch/Documents/TA/"/>
    </mc:Choice>
  </mc:AlternateContent>
  <xr:revisionPtr revIDLastSave="2057" documentId="8_{43A7B067-03E9-44B8-92D8-ABB1ECD4BB0C}" xr6:coauthVersionLast="47" xr6:coauthVersionMax="47" xr10:uidLastSave="{6FAE3516-3A84-4A80-8FBA-6AB98DFAD932}"/>
  <bookViews>
    <workbookView xWindow="-98" yWindow="-98" windowWidth="21795" windowHeight="12975" xr2:uid="{127131CF-F43C-445B-93CE-69D0BBEADA58}"/>
  </bookViews>
  <sheets>
    <sheet name="Übersich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AT6" i="3"/>
  <c r="AT8" i="3"/>
  <c r="B19" i="3"/>
  <c r="B16" i="3"/>
  <c r="B13" i="3"/>
  <c r="B10" i="3"/>
  <c r="AT9" i="3"/>
  <c r="AT7" i="3"/>
  <c r="AS13" i="3"/>
</calcChain>
</file>

<file path=xl/sharedStrings.xml><?xml version="1.0" encoding="utf-8"?>
<sst xmlns="http://schemas.openxmlformats.org/spreadsheetml/2006/main" count="132" uniqueCount="19">
  <si>
    <t>Analysis</t>
  </si>
  <si>
    <t>Mechanik</t>
  </si>
  <si>
    <t>Informatik</t>
  </si>
  <si>
    <t>Chemie</t>
  </si>
  <si>
    <t>Puffer</t>
  </si>
  <si>
    <t>M</t>
  </si>
  <si>
    <t>D</t>
  </si>
  <si>
    <t>F</t>
  </si>
  <si>
    <t>S</t>
  </si>
  <si>
    <t>Anzahl HT</t>
  </si>
  <si>
    <t>Analysis I</t>
  </si>
  <si>
    <t>Mechanik I</t>
  </si>
  <si>
    <t>Informatik I</t>
  </si>
  <si>
    <t>Summe HT</t>
  </si>
  <si>
    <t>x</t>
  </si>
  <si>
    <t>% Lerntage</t>
  </si>
  <si>
    <t>% Gewichtung</t>
  </si>
  <si>
    <t xml:space="preserve"> </t>
  </si>
  <si>
    <t>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</si>
</sst>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b/>
      <sz val="11"/>
      <color theme="9"/>
      <name val="Arial Nova Light"/>
      <family val="2"/>
    </font>
    <font>
      <sz val="11"/>
      <color theme="1"/>
      <name val="Arial Nova Light"/>
    </font>
    <font>
      <b/>
      <sz val="11"/>
      <color theme="5" tint="0.59999389629810485"/>
      <name val="Arial Nova Light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textRotation="60" wrapText="1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10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7B94-8C0A-42A8-89C4-DA2C32C907D7}">
  <dimension ref="A4:AW34"/>
  <sheetViews>
    <sheetView tabSelected="1" zoomScale="47" zoomScaleNormal="144" workbookViewId="0">
      <selection activeCell="S28" sqref="S28"/>
    </sheetView>
  </sheetViews>
  <sheetFormatPr baseColWidth="10" defaultColWidth="10.59765625" defaultRowHeight="13.9" x14ac:dyDescent="0.4"/>
  <cols>
    <col min="1" max="1" width="21.3984375" style="1" customWidth="1"/>
    <col min="2" max="2" width="11.3984375" style="1" customWidth="1"/>
    <col min="3" max="42" width="4.59765625" style="1" customWidth="1"/>
    <col min="43" max="45" width="10.59765625" style="1"/>
    <col min="46" max="46" width="12.9296875" style="1" customWidth="1"/>
    <col min="47" max="47" width="13.86328125" style="1" customWidth="1"/>
    <col min="48" max="16381" width="10.59765625" style="1"/>
    <col min="16382" max="16382" width="10.59765625" style="1" bestFit="1" customWidth="1"/>
    <col min="16383" max="16384" width="10.59765625" style="1"/>
  </cols>
  <sheetData>
    <row r="4" spans="1:49" ht="39.4" customHeight="1" x14ac:dyDescent="0.4">
      <c r="C4" s="2">
        <v>25.12</v>
      </c>
      <c r="D4" s="2">
        <v>26.12</v>
      </c>
      <c r="E4" s="2">
        <v>27.12</v>
      </c>
      <c r="F4" s="2">
        <v>28.12</v>
      </c>
      <c r="G4" s="2">
        <v>29.12</v>
      </c>
      <c r="H4" s="2">
        <v>30.12</v>
      </c>
      <c r="I4" s="2">
        <v>31.12</v>
      </c>
      <c r="J4" s="2">
        <v>1.1000000000000001</v>
      </c>
      <c r="K4" s="2">
        <v>2.1</v>
      </c>
      <c r="L4" s="2">
        <v>3.1</v>
      </c>
      <c r="M4" s="2">
        <v>4.0999999999999996</v>
      </c>
      <c r="N4" s="2">
        <v>5.0999999999999996</v>
      </c>
      <c r="O4" s="2">
        <v>6.1</v>
      </c>
      <c r="P4" s="2">
        <v>7.1</v>
      </c>
      <c r="Q4" s="2">
        <v>8.1</v>
      </c>
      <c r="R4" s="2">
        <v>9.1</v>
      </c>
      <c r="S4" s="2">
        <v>10.1</v>
      </c>
      <c r="T4" s="2">
        <v>11.1</v>
      </c>
      <c r="U4" s="2">
        <v>12.1</v>
      </c>
      <c r="V4" s="2">
        <v>13.1</v>
      </c>
      <c r="W4" s="2">
        <v>14.1</v>
      </c>
      <c r="X4" s="2">
        <v>15.1</v>
      </c>
      <c r="Y4" s="2">
        <v>16.100000000000001</v>
      </c>
      <c r="Z4" s="2">
        <v>17.100000000000001</v>
      </c>
      <c r="AA4" s="2">
        <v>18.100000000000001</v>
      </c>
      <c r="AB4" s="2">
        <v>19.100000000000001</v>
      </c>
      <c r="AC4" s="2">
        <v>20.100000000000001</v>
      </c>
      <c r="AD4" s="2">
        <v>21.1</v>
      </c>
      <c r="AE4" s="2">
        <v>22.1</v>
      </c>
      <c r="AF4" s="2">
        <v>23.1</v>
      </c>
      <c r="AG4" s="2">
        <v>24.1</v>
      </c>
      <c r="AH4" s="2">
        <v>25.1</v>
      </c>
      <c r="AI4" s="2">
        <v>26.1</v>
      </c>
      <c r="AJ4" s="2">
        <v>27.1</v>
      </c>
      <c r="AK4" s="2">
        <v>28.1</v>
      </c>
      <c r="AL4" s="2">
        <v>29.1</v>
      </c>
      <c r="AM4" s="2">
        <v>30.1</v>
      </c>
      <c r="AN4" s="2">
        <v>31.1</v>
      </c>
      <c r="AO4" s="2">
        <v>1.2</v>
      </c>
      <c r="AP4" s="2">
        <v>2.2000000000000002</v>
      </c>
    </row>
    <row r="5" spans="1:49" x14ac:dyDescent="0.4">
      <c r="C5" s="3" t="s">
        <v>5</v>
      </c>
      <c r="D5" s="3" t="s">
        <v>6</v>
      </c>
      <c r="E5" s="3" t="s">
        <v>5</v>
      </c>
      <c r="F5" s="3" t="s">
        <v>6</v>
      </c>
      <c r="G5" s="3" t="s">
        <v>7</v>
      </c>
      <c r="H5" s="4" t="s">
        <v>8</v>
      </c>
      <c r="I5" s="4" t="s">
        <v>8</v>
      </c>
      <c r="J5" s="3" t="s">
        <v>5</v>
      </c>
      <c r="K5" s="3" t="s">
        <v>6</v>
      </c>
      <c r="L5" s="3" t="s">
        <v>5</v>
      </c>
      <c r="M5" s="3" t="s">
        <v>6</v>
      </c>
      <c r="N5" s="3" t="s">
        <v>7</v>
      </c>
      <c r="O5" s="4" t="s">
        <v>8</v>
      </c>
      <c r="P5" s="4" t="s">
        <v>8</v>
      </c>
      <c r="Q5" s="3" t="s">
        <v>5</v>
      </c>
      <c r="R5" s="3" t="s">
        <v>6</v>
      </c>
      <c r="S5" s="3" t="s">
        <v>5</v>
      </c>
      <c r="T5" s="3" t="s">
        <v>6</v>
      </c>
      <c r="U5" s="3" t="s">
        <v>7</v>
      </c>
      <c r="V5" s="4" t="s">
        <v>8</v>
      </c>
      <c r="W5" s="4" t="s">
        <v>8</v>
      </c>
      <c r="X5" s="3" t="s">
        <v>5</v>
      </c>
      <c r="Y5" s="3" t="s">
        <v>6</v>
      </c>
      <c r="Z5" s="3" t="s">
        <v>5</v>
      </c>
      <c r="AA5" s="3" t="s">
        <v>6</v>
      </c>
      <c r="AB5" s="3" t="s">
        <v>7</v>
      </c>
      <c r="AC5" s="4" t="s">
        <v>8</v>
      </c>
      <c r="AD5" s="4" t="s">
        <v>8</v>
      </c>
      <c r="AE5" s="3" t="s">
        <v>5</v>
      </c>
      <c r="AF5" s="3" t="s">
        <v>6</v>
      </c>
      <c r="AG5" s="3" t="s">
        <v>5</v>
      </c>
      <c r="AH5" s="3" t="s">
        <v>6</v>
      </c>
      <c r="AI5" s="3" t="s">
        <v>7</v>
      </c>
      <c r="AJ5" s="4" t="s">
        <v>8</v>
      </c>
      <c r="AK5" s="4" t="s">
        <v>8</v>
      </c>
      <c r="AL5" s="3" t="s">
        <v>5</v>
      </c>
      <c r="AM5" s="3" t="s">
        <v>6</v>
      </c>
      <c r="AN5" s="3" t="s">
        <v>5</v>
      </c>
      <c r="AO5" s="3" t="s">
        <v>6</v>
      </c>
      <c r="AP5" s="3" t="s">
        <v>7</v>
      </c>
      <c r="AR5" s="3"/>
      <c r="AS5" s="3" t="s">
        <v>18</v>
      </c>
      <c r="AT5" s="3" t="s">
        <v>15</v>
      </c>
      <c r="AU5" s="3" t="s">
        <v>16</v>
      </c>
      <c r="AV5" s="3"/>
      <c r="AW5" s="3"/>
    </row>
    <row r="6" spans="1:49" ht="14.25" x14ac:dyDescent="0.45">
      <c r="A6" s="20"/>
      <c r="B6" s="3" t="s">
        <v>13</v>
      </c>
      <c r="C6" s="8" t="s">
        <v>14</v>
      </c>
      <c r="D6" s="8" t="s">
        <v>14</v>
      </c>
      <c r="E6" s="8"/>
      <c r="F6" s="8"/>
      <c r="G6" s="8"/>
      <c r="H6" s="8"/>
      <c r="I6" s="8"/>
      <c r="J6" s="8" t="s">
        <v>14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0"/>
      <c r="W6" s="25" t="s">
        <v>14</v>
      </c>
      <c r="X6" s="8"/>
      <c r="Y6" s="8"/>
      <c r="Z6" s="10"/>
      <c r="AA6" s="8"/>
      <c r="AB6" s="10"/>
      <c r="AC6" s="8"/>
      <c r="AD6" s="8"/>
      <c r="AE6" s="8"/>
      <c r="AF6" s="8" t="s">
        <v>14</v>
      </c>
      <c r="AG6" s="8"/>
      <c r="AH6" s="8" t="s">
        <v>14</v>
      </c>
      <c r="AI6" s="8"/>
      <c r="AJ6" s="8"/>
      <c r="AK6" s="8"/>
      <c r="AL6" s="8" t="s">
        <v>14</v>
      </c>
      <c r="AM6" s="8"/>
      <c r="AN6" s="8"/>
      <c r="AO6" s="8"/>
      <c r="AP6" s="8" t="s">
        <v>14</v>
      </c>
      <c r="AR6" s="3" t="s">
        <v>0</v>
      </c>
      <c r="AS6" s="3">
        <v>17</v>
      </c>
      <c r="AT6" s="7">
        <f>SUM(AS6/(SUM(AS6:AS9)))</f>
        <v>0.30909090909090908</v>
      </c>
      <c r="AU6" s="7">
        <v>0.33</v>
      </c>
      <c r="AV6"/>
      <c r="AW6"/>
    </row>
    <row r="7" spans="1:49" ht="14.25" x14ac:dyDescent="0.45">
      <c r="A7" s="20"/>
      <c r="B7" s="6">
        <f>COUNTIF(C6:AP7,"")</f>
        <v>61</v>
      </c>
      <c r="C7" s="8" t="s">
        <v>14</v>
      </c>
      <c r="D7" s="8" t="s">
        <v>14</v>
      </c>
      <c r="E7" s="8"/>
      <c r="F7" s="8"/>
      <c r="G7" s="8"/>
      <c r="H7" s="8"/>
      <c r="I7" s="8" t="s">
        <v>14</v>
      </c>
      <c r="J7" s="8" t="s">
        <v>14</v>
      </c>
      <c r="K7" s="8"/>
      <c r="L7" s="8"/>
      <c r="M7" s="8"/>
      <c r="N7" s="8" t="s">
        <v>14</v>
      </c>
      <c r="O7" s="8"/>
      <c r="P7" s="10"/>
      <c r="Q7" s="8"/>
      <c r="R7" s="10"/>
      <c r="S7" s="8"/>
      <c r="T7" s="8"/>
      <c r="U7" s="8"/>
      <c r="V7" s="10"/>
      <c r="W7" s="8" t="s">
        <v>14</v>
      </c>
      <c r="X7" s="8"/>
      <c r="Y7" s="8"/>
      <c r="Z7" s="8"/>
      <c r="AA7" s="8"/>
      <c r="AB7" s="10"/>
      <c r="AC7" s="8" t="s">
        <v>14</v>
      </c>
      <c r="AD7" s="12"/>
      <c r="AE7" s="12"/>
      <c r="AF7" s="16" t="s">
        <v>14</v>
      </c>
      <c r="AG7" s="12"/>
      <c r="AH7" s="17" t="s">
        <v>14</v>
      </c>
      <c r="AI7" s="12"/>
      <c r="AJ7" s="12"/>
      <c r="AK7" s="12"/>
      <c r="AL7" s="18" t="s">
        <v>14</v>
      </c>
      <c r="AM7" s="12"/>
      <c r="AN7" s="12"/>
      <c r="AO7" s="12"/>
      <c r="AP7" s="19" t="s">
        <v>14</v>
      </c>
      <c r="AR7" s="3" t="s">
        <v>1</v>
      </c>
      <c r="AS7" s="3">
        <v>14</v>
      </c>
      <c r="AT7" s="7">
        <f>SUM(AS7/(SUM(AS6:AS9)))</f>
        <v>0.25454545454545452</v>
      </c>
      <c r="AU7" s="7">
        <v>0.28999999999999998</v>
      </c>
      <c r="AV7"/>
      <c r="AW7"/>
    </row>
    <row r="8" spans="1:49" ht="14.25" x14ac:dyDescent="0.45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R8" s="3" t="s">
        <v>2</v>
      </c>
      <c r="AS8" s="3">
        <v>12</v>
      </c>
      <c r="AT8" s="7">
        <f>SUM(AS8/(SUM(AS6:AS9)))</f>
        <v>0.21818181818181817</v>
      </c>
      <c r="AU8" s="7">
        <v>0.19</v>
      </c>
      <c r="AV8"/>
      <c r="AW8"/>
    </row>
    <row r="9" spans="1:49" ht="14.25" x14ac:dyDescent="0.45">
      <c r="A9" s="21" t="s">
        <v>10</v>
      </c>
      <c r="B9" s="3" t="s">
        <v>9</v>
      </c>
      <c r="C9" s="5"/>
      <c r="D9" s="5"/>
      <c r="E9" s="5" t="s">
        <v>14</v>
      </c>
      <c r="F9" s="5"/>
      <c r="G9" s="5"/>
      <c r="H9" s="5"/>
      <c r="I9" s="5" t="s">
        <v>14</v>
      </c>
      <c r="J9" s="5"/>
      <c r="K9" s="5"/>
      <c r="L9" s="5" t="s">
        <v>14</v>
      </c>
      <c r="M9" s="5"/>
      <c r="N9" s="5"/>
      <c r="O9" s="5"/>
      <c r="P9" s="5"/>
      <c r="Q9" s="5"/>
      <c r="R9" s="5" t="s">
        <v>14</v>
      </c>
      <c r="S9" s="5"/>
      <c r="T9" s="5"/>
      <c r="U9" s="5" t="s">
        <v>14</v>
      </c>
      <c r="V9" s="5"/>
      <c r="W9" s="5"/>
      <c r="X9" s="5"/>
      <c r="Y9" s="5" t="s">
        <v>14</v>
      </c>
      <c r="Z9" s="5"/>
      <c r="AA9" s="5"/>
      <c r="AB9" s="5"/>
      <c r="AC9" s="5" t="s">
        <v>14</v>
      </c>
      <c r="AD9" s="5"/>
      <c r="AE9" s="5"/>
      <c r="AF9" s="5"/>
      <c r="AG9" s="5" t="s">
        <v>14</v>
      </c>
      <c r="AH9" s="5"/>
      <c r="AI9" s="5"/>
      <c r="AJ9" s="5"/>
      <c r="AK9" s="5"/>
      <c r="AL9" s="5"/>
      <c r="AM9" s="5"/>
      <c r="AN9" s="5"/>
      <c r="AO9" s="5"/>
      <c r="AP9" s="5"/>
      <c r="AR9" s="3" t="s">
        <v>3</v>
      </c>
      <c r="AS9" s="3">
        <v>12</v>
      </c>
      <c r="AT9" s="7">
        <f>SUM(AS9/(SUM(AS6:AS9)))</f>
        <v>0.21818181818181817</v>
      </c>
      <c r="AU9" s="7">
        <v>0.19</v>
      </c>
      <c r="AV9"/>
      <c r="AW9"/>
    </row>
    <row r="10" spans="1:49" ht="14.25" x14ac:dyDescent="0.45">
      <c r="A10" s="21"/>
      <c r="B10" s="3">
        <f>COUNTIF(C9:AP10,"x")</f>
        <v>17</v>
      </c>
      <c r="C10" s="5"/>
      <c r="D10" s="5"/>
      <c r="E10" s="5" t="s">
        <v>14</v>
      </c>
      <c r="F10" s="5"/>
      <c r="G10" s="5"/>
      <c r="H10" s="5"/>
      <c r="I10" s="5"/>
      <c r="J10" s="5"/>
      <c r="K10" s="5" t="s">
        <v>14</v>
      </c>
      <c r="L10" s="5"/>
      <c r="M10" s="5" t="s">
        <v>14</v>
      </c>
      <c r="N10" s="5"/>
      <c r="O10" s="5" t="s">
        <v>14</v>
      </c>
      <c r="P10" s="5"/>
      <c r="Q10" s="5" t="s">
        <v>14</v>
      </c>
      <c r="R10" s="5"/>
      <c r="S10" s="5"/>
      <c r="T10" s="5" t="s">
        <v>14</v>
      </c>
      <c r="U10" s="5"/>
      <c r="V10" s="5"/>
      <c r="W10" s="5"/>
      <c r="X10" s="5" t="s">
        <v>14</v>
      </c>
      <c r="Y10" s="5"/>
      <c r="Z10" s="5"/>
      <c r="AA10" s="5" t="s">
        <v>14</v>
      </c>
      <c r="AB10" s="5"/>
      <c r="AC10" s="5"/>
      <c r="AD10" s="5"/>
      <c r="AE10" s="5"/>
      <c r="AF10" s="5"/>
      <c r="AG10" s="5" t="s">
        <v>14</v>
      </c>
      <c r="AH10" s="5"/>
      <c r="AI10" s="5"/>
      <c r="AJ10" s="5"/>
      <c r="AK10" s="5"/>
      <c r="AL10" s="5"/>
      <c r="AM10" s="5"/>
      <c r="AN10" s="5"/>
      <c r="AO10" s="5"/>
      <c r="AP10" s="5"/>
      <c r="AR10" s="3"/>
      <c r="AS10" s="3"/>
      <c r="AT10" s="3"/>
      <c r="AU10" s="3"/>
      <c r="AV10"/>
      <c r="AW10"/>
    </row>
    <row r="11" spans="1:49" ht="14.25" x14ac:dyDescent="0.4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R11" s="3" t="s">
        <v>4</v>
      </c>
      <c r="AS11" s="3">
        <v>6</v>
      </c>
      <c r="AT11" s="3"/>
      <c r="AU11" s="3"/>
      <c r="AV11"/>
      <c r="AW11"/>
    </row>
    <row r="12" spans="1:49" x14ac:dyDescent="0.4">
      <c r="A12" s="22" t="s">
        <v>11</v>
      </c>
      <c r="B12" s="3" t="s">
        <v>9</v>
      </c>
      <c r="C12" s="5"/>
      <c r="D12" s="5"/>
      <c r="E12" s="5"/>
      <c r="F12" s="5" t="s">
        <v>14</v>
      </c>
      <c r="G12" s="5"/>
      <c r="H12" s="5"/>
      <c r="I12" s="5"/>
      <c r="J12" s="5"/>
      <c r="K12" s="5" t="s">
        <v>14</v>
      </c>
      <c r="L12" s="5"/>
      <c r="M12" s="5"/>
      <c r="N12" s="13"/>
      <c r="O12" s="5" t="s">
        <v>14</v>
      </c>
      <c r="P12" s="14"/>
      <c r="Q12" s="5"/>
      <c r="R12" s="5"/>
      <c r="S12" s="5" t="s">
        <v>14</v>
      </c>
      <c r="T12" s="5"/>
      <c r="U12" s="5"/>
      <c r="V12" s="5"/>
      <c r="W12" s="5"/>
      <c r="X12" s="5" t="s">
        <v>14</v>
      </c>
      <c r="Y12" s="5"/>
      <c r="Z12" s="5"/>
      <c r="AA12" s="5" t="s">
        <v>14</v>
      </c>
      <c r="AB12" s="5"/>
      <c r="AC12" s="5"/>
      <c r="AD12" s="5" t="s">
        <v>14</v>
      </c>
      <c r="AE12" s="5" t="s">
        <v>14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R12" s="3"/>
      <c r="AS12" s="3"/>
      <c r="AT12" s="3"/>
      <c r="AU12" s="3"/>
      <c r="AV12" s="3"/>
      <c r="AW12" s="3"/>
    </row>
    <row r="13" spans="1:49" x14ac:dyDescent="0.4">
      <c r="A13" s="22"/>
      <c r="B13" s="3">
        <f>COUNTIF(C12:AP13,"x")</f>
        <v>14</v>
      </c>
      <c r="C13" s="5"/>
      <c r="D13" s="5"/>
      <c r="E13" s="5"/>
      <c r="F13" s="5" t="s">
        <v>14</v>
      </c>
      <c r="G13" s="5"/>
      <c r="H13" s="5"/>
      <c r="I13" s="5"/>
      <c r="J13" s="5"/>
      <c r="K13" s="5"/>
      <c r="L13" s="5" t="s">
        <v>14</v>
      </c>
      <c r="M13" s="5"/>
      <c r="N13" s="5"/>
      <c r="O13" s="15"/>
      <c r="P13" s="5"/>
      <c r="Q13" s="5"/>
      <c r="R13" s="5" t="s">
        <v>14</v>
      </c>
      <c r="S13" s="5"/>
      <c r="T13" s="5"/>
      <c r="U13" s="5" t="s">
        <v>14</v>
      </c>
      <c r="V13" s="5"/>
      <c r="W13" s="5"/>
      <c r="X13" s="5"/>
      <c r="Y13" s="5"/>
      <c r="Z13" s="5"/>
      <c r="AA13" s="5"/>
      <c r="AB13" s="5"/>
      <c r="AC13" s="5"/>
      <c r="AD13" s="5" t="s">
        <v>14</v>
      </c>
      <c r="AE13" s="5" t="s">
        <v>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R13" s="3"/>
      <c r="AS13" s="3">
        <f>SUM(AS6:AS11)</f>
        <v>61</v>
      </c>
      <c r="AT13" s="3"/>
      <c r="AU13" s="3"/>
      <c r="AV13" s="3"/>
      <c r="AW13" s="3"/>
    </row>
    <row r="14" spans="1:49" x14ac:dyDescent="0.4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9" x14ac:dyDescent="0.4">
      <c r="A15" s="23" t="s">
        <v>12</v>
      </c>
      <c r="B15" s="3" t="s">
        <v>9</v>
      </c>
      <c r="C15" s="5"/>
      <c r="D15" s="5"/>
      <c r="E15" s="5"/>
      <c r="F15" s="5"/>
      <c r="G15" s="5" t="s">
        <v>14</v>
      </c>
      <c r="H15" s="5"/>
      <c r="I15" s="5"/>
      <c r="J15" s="5"/>
      <c r="K15" s="5"/>
      <c r="L15" s="5"/>
      <c r="M15" s="5" t="s">
        <v>14</v>
      </c>
      <c r="N15" s="5"/>
      <c r="O15" s="5"/>
      <c r="P15" s="5"/>
      <c r="Q15" s="5" t="s">
        <v>14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 t="s">
        <v>14</v>
      </c>
      <c r="AN15" s="5" t="s">
        <v>14</v>
      </c>
      <c r="AO15" s="5" t="s">
        <v>14</v>
      </c>
      <c r="AP15" s="5"/>
    </row>
    <row r="16" spans="1:49" x14ac:dyDescent="0.4">
      <c r="A16" s="23"/>
      <c r="B16" s="3">
        <f>COUNTIF(C15:AP16,"x")</f>
        <v>12</v>
      </c>
      <c r="C16" s="5"/>
      <c r="D16" s="5"/>
      <c r="E16" s="5"/>
      <c r="F16" s="5"/>
      <c r="G16" s="5" t="s">
        <v>14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14</v>
      </c>
      <c r="T16" s="5"/>
      <c r="U16" s="5"/>
      <c r="V16" s="5"/>
      <c r="W16" s="5"/>
      <c r="X16" s="5"/>
      <c r="Y16" s="5" t="s">
        <v>14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 t="s">
        <v>14</v>
      </c>
      <c r="AN16" s="5" t="s">
        <v>14</v>
      </c>
      <c r="AO16" s="5" t="s">
        <v>14</v>
      </c>
      <c r="AP16" s="5"/>
    </row>
    <row r="17" spans="1:42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4">
      <c r="A18" s="24" t="s">
        <v>3</v>
      </c>
      <c r="B18" s="3" t="s">
        <v>9</v>
      </c>
      <c r="C18" s="5"/>
      <c r="D18" s="5"/>
      <c r="E18" s="5"/>
      <c r="F18" s="5"/>
      <c r="G18" s="5"/>
      <c r="H18" s="5" t="s">
        <v>14</v>
      </c>
      <c r="I18" s="5"/>
      <c r="J18" s="5"/>
      <c r="K18" s="5"/>
      <c r="L18" s="5"/>
      <c r="M18" s="5"/>
      <c r="N18" s="5" t="s">
        <v>14</v>
      </c>
      <c r="O18" s="5"/>
      <c r="P18" s="5" t="s">
        <v>14</v>
      </c>
      <c r="Q18" s="5"/>
      <c r="R18" s="5"/>
      <c r="S18" s="5"/>
      <c r="T18" s="5" t="s">
        <v>14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 t="s">
        <v>14</v>
      </c>
      <c r="AJ18" s="5" t="s">
        <v>14</v>
      </c>
      <c r="AK18" s="5" t="s">
        <v>14</v>
      </c>
      <c r="AL18" s="9"/>
      <c r="AM18" s="5"/>
      <c r="AN18" s="5"/>
      <c r="AO18" s="5"/>
      <c r="AP18" s="5"/>
    </row>
    <row r="19" spans="1:42" x14ac:dyDescent="0.4">
      <c r="A19" s="24"/>
      <c r="B19" s="3">
        <f>COUNTIF(C18:AP19,"x")</f>
        <v>12</v>
      </c>
      <c r="C19" s="5"/>
      <c r="D19" s="5"/>
      <c r="E19" s="5"/>
      <c r="F19" s="5"/>
      <c r="G19" s="5"/>
      <c r="H19" s="5" t="s">
        <v>14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 t="s">
        <v>14</v>
      </c>
      <c r="AA19" s="5"/>
      <c r="AB19" s="5"/>
      <c r="AC19" s="5"/>
      <c r="AD19" s="5"/>
      <c r="AE19" s="5"/>
      <c r="AF19" s="5"/>
      <c r="AG19" s="5"/>
      <c r="AH19" s="5"/>
      <c r="AI19" s="5" t="s">
        <v>14</v>
      </c>
      <c r="AJ19" s="5" t="s">
        <v>14</v>
      </c>
      <c r="AK19" s="5" t="s">
        <v>14</v>
      </c>
      <c r="AL19" s="5"/>
      <c r="AM19" s="5"/>
      <c r="AN19" s="5"/>
      <c r="AO19" s="5"/>
      <c r="AP19" s="5"/>
    </row>
    <row r="21" spans="1:42" s="11" customFormat="1" x14ac:dyDescent="0.4">
      <c r="N21" s="11" t="s">
        <v>17</v>
      </c>
    </row>
    <row r="22" spans="1:42" s="11" customFormat="1" x14ac:dyDescent="0.4"/>
    <row r="27" spans="1:42" ht="14.25" x14ac:dyDescent="0.45">
      <c r="F27"/>
      <c r="G27"/>
      <c r="H27"/>
      <c r="I27"/>
      <c r="J27"/>
      <c r="K27"/>
    </row>
    <row r="28" spans="1:42" ht="14.25" x14ac:dyDescent="0.45">
      <c r="F28"/>
      <c r="G28"/>
      <c r="H28"/>
      <c r="I28"/>
      <c r="J28"/>
      <c r="K28"/>
    </row>
    <row r="29" spans="1:42" ht="14.25" x14ac:dyDescent="0.45">
      <c r="F29"/>
      <c r="G29"/>
      <c r="H29"/>
      <c r="I29"/>
      <c r="J29"/>
      <c r="K29"/>
    </row>
    <row r="30" spans="1:42" ht="14.25" x14ac:dyDescent="0.45">
      <c r="F30"/>
      <c r="G30"/>
      <c r="H30"/>
      <c r="I30"/>
      <c r="J30"/>
      <c r="K30"/>
    </row>
    <row r="31" spans="1:42" ht="14.25" x14ac:dyDescent="0.45">
      <c r="F31"/>
      <c r="G31"/>
      <c r="H31"/>
      <c r="I31"/>
      <c r="J31"/>
      <c r="K31"/>
    </row>
    <row r="32" spans="1:42" ht="14.25" x14ac:dyDescent="0.45">
      <c r="F32"/>
      <c r="G32"/>
      <c r="H32"/>
      <c r="I32"/>
      <c r="J32"/>
      <c r="K32"/>
    </row>
    <row r="33" spans="6:11" ht="14.25" x14ac:dyDescent="0.45">
      <c r="F33"/>
      <c r="G33"/>
      <c r="H33"/>
      <c r="I33"/>
      <c r="J33"/>
      <c r="K33"/>
    </row>
    <row r="34" spans="6:11" ht="14.25" x14ac:dyDescent="0.45">
      <c r="F34"/>
      <c r="G34"/>
      <c r="H34"/>
      <c r="I34"/>
      <c r="J34"/>
      <c r="K34"/>
    </row>
  </sheetData>
  <mergeCells count="5">
    <mergeCell ref="A6:A7"/>
    <mergeCell ref="A9:A10"/>
    <mergeCell ref="A12:A13"/>
    <mergeCell ref="A15:A16"/>
    <mergeCell ref="A18:A19"/>
  </mergeCells>
  <conditionalFormatting sqref="C6:AP7">
    <cfRule type="expression" dxfId="3" priority="1">
      <formula>C18="x"</formula>
    </cfRule>
    <cfRule type="expression" dxfId="2" priority="2">
      <formula>C15="x"</formula>
    </cfRule>
    <cfRule type="expression" dxfId="1" priority="3">
      <formula>C12="x"</formula>
    </cfRule>
    <cfRule type="expression" dxfId="0" priority="4">
      <formula>C9="x"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  Leonard</dc:creator>
  <cp:lastModifiedBy>Kopp  Leonard</cp:lastModifiedBy>
  <dcterms:created xsi:type="dcterms:W3CDTF">2023-11-22T19:51:39Z</dcterms:created>
  <dcterms:modified xsi:type="dcterms:W3CDTF">2025-11-29T10:23:00Z</dcterms:modified>
</cp:coreProperties>
</file>