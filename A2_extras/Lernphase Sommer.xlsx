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kopple_ethz_ch/Documents/TA FS 26/"/>
    </mc:Choice>
  </mc:AlternateContent>
  <xr:revisionPtr revIDLastSave="1536" documentId="8_{DD5D2ED9-423B-4F64-A5FF-86AA493029F3}" xr6:coauthVersionLast="47" xr6:coauthVersionMax="47" xr10:uidLastSave="{B5A84BBB-4018-4D6D-BB53-1EAB3C3C4876}"/>
  <bookViews>
    <workbookView xWindow="-28920" yWindow="4770" windowWidth="29040" windowHeight="17520" xr2:uid="{0CF1845A-8930-4D6F-B70C-09A09397B0EF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N11" i="1"/>
  <c r="CL15" i="1"/>
  <c r="B23" i="1"/>
  <c r="B20" i="1"/>
  <c r="B17" i="1"/>
  <c r="B14" i="1"/>
  <c r="B11" i="1"/>
  <c r="B8" i="1"/>
  <c r="CN10" i="1"/>
  <c r="CN9" i="1"/>
  <c r="CN8" i="1"/>
  <c r="CN7" i="1"/>
  <c r="CN6" i="1"/>
  <c r="CO11" i="1"/>
  <c r="CO10" i="1"/>
  <c r="CO9" i="1"/>
  <c r="CO8" i="1"/>
  <c r="CO7" i="1"/>
  <c r="CO6" i="1"/>
</calcChain>
</file>

<file path=xl/sharedStrings.xml><?xml version="1.0" encoding="utf-8"?>
<sst xmlns="http://schemas.openxmlformats.org/spreadsheetml/2006/main" count="275" uniqueCount="18">
  <si>
    <t>M</t>
  </si>
  <si>
    <t>D</t>
  </si>
  <si>
    <t>F</t>
  </si>
  <si>
    <t>S</t>
  </si>
  <si>
    <t>Summe HT</t>
  </si>
  <si>
    <t>Analysis II</t>
  </si>
  <si>
    <t>Mechanik II</t>
  </si>
  <si>
    <t>LinAlg</t>
  </si>
  <si>
    <t>Physik</t>
  </si>
  <si>
    <t>MK</t>
  </si>
  <si>
    <t>Informatik II</t>
  </si>
  <si>
    <t>HT</t>
  </si>
  <si>
    <t>% Gewichtung</t>
  </si>
  <si>
    <t>% Halbtage</t>
  </si>
  <si>
    <t>Puffer</t>
  </si>
  <si>
    <t>x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</si>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</sst>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45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8" borderId="0" xfId="0" applyFill="1" applyAlignment="1">
      <alignment vertical="center"/>
    </xf>
    <xf numFmtId="164" fontId="0" fillId="0" borderId="0" xfId="1" applyNumberFormat="1" applyFont="1" applyAlignment="1">
      <alignment horizontal="right" vertical="center"/>
    </xf>
    <xf numFmtId="164" fontId="0" fillId="9" borderId="0" xfId="1" applyNumberFormat="1" applyFont="1" applyFill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18"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FFFF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FFFF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FFFF99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FF99"/>
      <color rgb="FFCCCCFF"/>
      <color rgb="FFFFFF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C00B-B5AD-4E7E-AC9F-EE694E6F7456}">
  <dimension ref="A1:CO34"/>
  <sheetViews>
    <sheetView tabSelected="1" zoomScale="53" zoomScaleNormal="235" workbookViewId="0">
      <selection activeCell="CM27" sqref="CM27"/>
    </sheetView>
  </sheetViews>
  <sheetFormatPr baseColWidth="10" defaultColWidth="10.73046875" defaultRowHeight="14.25" x14ac:dyDescent="0.45"/>
  <cols>
    <col min="1" max="1" width="18.1328125" style="1" customWidth="1"/>
    <col min="2" max="2" width="10.59765625" style="1"/>
    <col min="3" max="87" width="4.46484375" style="1" customWidth="1"/>
    <col min="93" max="93" width="13.59765625" style="1" customWidth="1"/>
  </cols>
  <sheetData>
    <row r="1" spans="1:93" ht="33.75" customHeight="1" x14ac:dyDescent="0.45"/>
    <row r="2" spans="1:93" ht="27.4" x14ac:dyDescent="0.45">
      <c r="C2" s="2">
        <v>1.6</v>
      </c>
      <c r="D2" s="2">
        <v>2.6</v>
      </c>
      <c r="E2" s="2">
        <v>3.6</v>
      </c>
      <c r="F2" s="2">
        <v>4.5999999999999996</v>
      </c>
      <c r="G2" s="2">
        <v>5.6</v>
      </c>
      <c r="H2" s="2">
        <v>6.6</v>
      </c>
      <c r="I2" s="2">
        <v>7.6</v>
      </c>
      <c r="J2" s="2">
        <v>8.6</v>
      </c>
      <c r="K2" s="2">
        <v>9.6</v>
      </c>
      <c r="L2" s="2">
        <v>10.6</v>
      </c>
      <c r="M2" s="2">
        <v>11.6</v>
      </c>
      <c r="N2" s="2">
        <v>12.6</v>
      </c>
      <c r="O2" s="2">
        <v>13.6</v>
      </c>
      <c r="P2" s="2">
        <v>14.6</v>
      </c>
      <c r="Q2" s="2">
        <v>15.6</v>
      </c>
      <c r="R2" s="2">
        <v>16.600000000000001</v>
      </c>
      <c r="S2" s="2">
        <v>17.600000000000001</v>
      </c>
      <c r="T2" s="2">
        <v>18.600000000000001</v>
      </c>
      <c r="U2" s="2">
        <v>19.600000000000001</v>
      </c>
      <c r="V2" s="2">
        <v>20.6</v>
      </c>
      <c r="W2" s="2">
        <v>21.6</v>
      </c>
      <c r="X2" s="2">
        <v>22.6</v>
      </c>
      <c r="Y2" s="2">
        <v>23.6</v>
      </c>
      <c r="Z2" s="2">
        <v>24.6</v>
      </c>
      <c r="AA2" s="2">
        <v>25.6</v>
      </c>
      <c r="AB2" s="2">
        <v>26.6</v>
      </c>
      <c r="AC2" s="2">
        <v>27.6</v>
      </c>
      <c r="AD2" s="2">
        <v>28.6</v>
      </c>
      <c r="AE2" s="2">
        <v>29.6</v>
      </c>
      <c r="AF2" s="2">
        <v>30.6</v>
      </c>
      <c r="AG2" s="2">
        <v>1.7</v>
      </c>
      <c r="AH2" s="2">
        <v>2.7</v>
      </c>
      <c r="AI2" s="2">
        <v>3.7</v>
      </c>
      <c r="AJ2" s="2">
        <v>4.7</v>
      </c>
      <c r="AK2" s="2">
        <v>5.7</v>
      </c>
      <c r="AL2" s="2">
        <v>6.7</v>
      </c>
      <c r="AM2" s="2">
        <v>7.7</v>
      </c>
      <c r="AN2" s="2">
        <v>8.6999999999999993</v>
      </c>
      <c r="AO2" s="2">
        <v>9.6999999999999993</v>
      </c>
      <c r="AP2" s="2">
        <v>10.7</v>
      </c>
      <c r="AQ2" s="2">
        <v>11.7</v>
      </c>
      <c r="AR2" s="2">
        <v>12.7</v>
      </c>
      <c r="AS2" s="2">
        <v>13.7</v>
      </c>
      <c r="AT2" s="2">
        <v>14.7</v>
      </c>
      <c r="AU2" s="2">
        <v>15.7</v>
      </c>
      <c r="AV2" s="2">
        <v>16.7</v>
      </c>
      <c r="AW2" s="2">
        <v>17.7</v>
      </c>
      <c r="AX2" s="2">
        <v>18.7</v>
      </c>
      <c r="AY2" s="2">
        <v>19.7</v>
      </c>
      <c r="AZ2" s="2">
        <v>20.7</v>
      </c>
      <c r="BA2" s="2">
        <v>21.7</v>
      </c>
      <c r="BB2" s="2">
        <v>22.7</v>
      </c>
      <c r="BC2" s="2">
        <v>23.7</v>
      </c>
      <c r="BD2" s="2">
        <v>24.7</v>
      </c>
      <c r="BE2" s="2">
        <v>25.7</v>
      </c>
      <c r="BF2" s="2">
        <v>26.7</v>
      </c>
      <c r="BG2" s="2">
        <v>27.7</v>
      </c>
      <c r="BH2" s="2">
        <v>28.7</v>
      </c>
      <c r="BI2" s="2">
        <v>29.7</v>
      </c>
      <c r="BJ2" s="2">
        <v>30.7</v>
      </c>
      <c r="BK2" s="2">
        <v>31.7</v>
      </c>
      <c r="BL2" s="1">
        <v>1.8</v>
      </c>
      <c r="BM2" s="2">
        <v>2.8</v>
      </c>
      <c r="BN2" s="2">
        <v>3.8</v>
      </c>
      <c r="BO2" s="2">
        <v>4.8</v>
      </c>
      <c r="BP2" s="2">
        <v>5.8</v>
      </c>
      <c r="BQ2" s="2">
        <v>6.8</v>
      </c>
      <c r="BR2" s="2">
        <v>7.8</v>
      </c>
      <c r="BS2" s="2">
        <v>8.8000000000000007</v>
      </c>
      <c r="BT2" s="2">
        <v>9.8000000000000007</v>
      </c>
      <c r="BU2" s="2">
        <v>10.8</v>
      </c>
      <c r="BV2" s="2">
        <v>11.8</v>
      </c>
      <c r="BW2" s="2">
        <v>12.8</v>
      </c>
      <c r="BX2" s="2">
        <v>13.8</v>
      </c>
      <c r="BY2" s="2">
        <v>14.8</v>
      </c>
      <c r="BZ2" s="2">
        <v>15.8</v>
      </c>
      <c r="CA2" s="2">
        <v>16.8</v>
      </c>
      <c r="CB2" s="2">
        <v>17.8</v>
      </c>
      <c r="CC2" s="2">
        <v>18.8</v>
      </c>
      <c r="CD2" s="2">
        <v>19.8</v>
      </c>
      <c r="CE2" s="2">
        <v>20.8</v>
      </c>
      <c r="CF2" s="2">
        <v>21.8</v>
      </c>
      <c r="CG2" s="2">
        <v>22.8</v>
      </c>
      <c r="CH2" s="2">
        <v>23.8</v>
      </c>
      <c r="CI2" s="2">
        <v>24.8</v>
      </c>
    </row>
    <row r="3" spans="1:93" x14ac:dyDescent="0.45">
      <c r="C3" s="1" t="s">
        <v>0</v>
      </c>
      <c r="D3" s="1" t="s">
        <v>1</v>
      </c>
      <c r="E3" s="1" t="s">
        <v>0</v>
      </c>
      <c r="F3" s="1" t="s">
        <v>1</v>
      </c>
      <c r="G3" s="1" t="s">
        <v>2</v>
      </c>
      <c r="H3" s="19" t="s">
        <v>3</v>
      </c>
      <c r="I3" s="19" t="s">
        <v>3</v>
      </c>
      <c r="J3" s="1" t="s">
        <v>0</v>
      </c>
      <c r="K3" s="1" t="s">
        <v>1</v>
      </c>
      <c r="L3" s="1" t="s">
        <v>0</v>
      </c>
      <c r="M3" s="1" t="s">
        <v>1</v>
      </c>
      <c r="N3" s="1" t="s">
        <v>2</v>
      </c>
      <c r="O3" s="19" t="s">
        <v>3</v>
      </c>
      <c r="P3" s="19" t="s">
        <v>3</v>
      </c>
      <c r="Q3" s="1" t="s">
        <v>0</v>
      </c>
      <c r="R3" s="1" t="s">
        <v>1</v>
      </c>
      <c r="S3" s="1" t="s">
        <v>0</v>
      </c>
      <c r="T3" s="1" t="s">
        <v>1</v>
      </c>
      <c r="U3" s="1" t="s">
        <v>2</v>
      </c>
      <c r="V3" s="19" t="s">
        <v>3</v>
      </c>
      <c r="W3" s="19" t="s">
        <v>3</v>
      </c>
      <c r="X3" s="1" t="s">
        <v>0</v>
      </c>
      <c r="Y3" s="1" t="s">
        <v>1</v>
      </c>
      <c r="Z3" s="1" t="s">
        <v>0</v>
      </c>
      <c r="AA3" s="1" t="s">
        <v>1</v>
      </c>
      <c r="AB3" s="1" t="s">
        <v>2</v>
      </c>
      <c r="AC3" s="19" t="s">
        <v>3</v>
      </c>
      <c r="AD3" s="19" t="s">
        <v>3</v>
      </c>
      <c r="AE3" s="1" t="s">
        <v>0</v>
      </c>
      <c r="AF3" s="1" t="s">
        <v>1</v>
      </c>
      <c r="AG3" s="1" t="s">
        <v>0</v>
      </c>
      <c r="AH3" s="1" t="s">
        <v>1</v>
      </c>
      <c r="AI3" s="1" t="s">
        <v>2</v>
      </c>
      <c r="AJ3" s="19" t="s">
        <v>3</v>
      </c>
      <c r="AK3" s="19" t="s">
        <v>3</v>
      </c>
      <c r="AL3" s="1" t="s">
        <v>0</v>
      </c>
      <c r="AM3" s="1" t="s">
        <v>1</v>
      </c>
      <c r="AN3" s="1" t="s">
        <v>0</v>
      </c>
      <c r="AO3" s="1" t="s">
        <v>1</v>
      </c>
      <c r="AP3" s="1" t="s">
        <v>2</v>
      </c>
      <c r="AQ3" s="19" t="s">
        <v>3</v>
      </c>
      <c r="AR3" s="19" t="s">
        <v>3</v>
      </c>
      <c r="AS3" s="1" t="s">
        <v>0</v>
      </c>
      <c r="AT3" s="1" t="s">
        <v>1</v>
      </c>
      <c r="AU3" s="1" t="s">
        <v>0</v>
      </c>
      <c r="AV3" s="1" t="s">
        <v>1</v>
      </c>
      <c r="AW3" s="1" t="s">
        <v>2</v>
      </c>
      <c r="AX3" s="19" t="s">
        <v>3</v>
      </c>
      <c r="AY3" s="19" t="s">
        <v>3</v>
      </c>
      <c r="AZ3" s="1" t="s">
        <v>0</v>
      </c>
      <c r="BA3" s="1" t="s">
        <v>1</v>
      </c>
      <c r="BB3" s="1" t="s">
        <v>0</v>
      </c>
      <c r="BC3" s="1" t="s">
        <v>1</v>
      </c>
      <c r="BD3" s="1" t="s">
        <v>2</v>
      </c>
      <c r="BE3" s="19" t="s">
        <v>3</v>
      </c>
      <c r="BF3" s="19" t="s">
        <v>3</v>
      </c>
      <c r="BG3" s="1" t="s">
        <v>0</v>
      </c>
      <c r="BH3" s="1" t="s">
        <v>1</v>
      </c>
      <c r="BI3" s="1" t="s">
        <v>0</v>
      </c>
      <c r="BJ3" s="1" t="s">
        <v>1</v>
      </c>
      <c r="BK3" s="1" t="s">
        <v>2</v>
      </c>
      <c r="BL3" s="19" t="s">
        <v>3</v>
      </c>
      <c r="BM3" s="19" t="s">
        <v>3</v>
      </c>
      <c r="BN3" s="1" t="s">
        <v>0</v>
      </c>
      <c r="BO3" s="1" t="s">
        <v>1</v>
      </c>
      <c r="BP3" s="1" t="s">
        <v>0</v>
      </c>
      <c r="BQ3" s="1" t="s">
        <v>1</v>
      </c>
      <c r="BR3" s="1" t="s">
        <v>2</v>
      </c>
      <c r="BS3" s="19" t="s">
        <v>3</v>
      </c>
      <c r="BT3" s="19" t="s">
        <v>3</v>
      </c>
      <c r="BU3" s="1" t="s">
        <v>0</v>
      </c>
      <c r="BV3" s="1" t="s">
        <v>1</v>
      </c>
      <c r="BW3" s="1" t="s">
        <v>0</v>
      </c>
      <c r="BX3" s="1" t="s">
        <v>1</v>
      </c>
      <c r="BY3" s="1" t="s">
        <v>2</v>
      </c>
      <c r="BZ3" s="19" t="s">
        <v>3</v>
      </c>
      <c r="CA3" s="19" t="s">
        <v>3</v>
      </c>
      <c r="CB3" s="1" t="s">
        <v>0</v>
      </c>
      <c r="CC3" s="1" t="s">
        <v>1</v>
      </c>
      <c r="CD3" s="1" t="s">
        <v>0</v>
      </c>
      <c r="CE3" s="1" t="s">
        <v>1</v>
      </c>
      <c r="CF3" s="1" t="s">
        <v>2</v>
      </c>
      <c r="CG3" s="19" t="s">
        <v>3</v>
      </c>
      <c r="CH3" s="19" t="s">
        <v>3</v>
      </c>
      <c r="CI3" s="1" t="s">
        <v>0</v>
      </c>
    </row>
    <row r="4" spans="1:93" x14ac:dyDescent="0.45">
      <c r="B4" s="1" t="s">
        <v>4</v>
      </c>
      <c r="C4" s="11" t="s">
        <v>15</v>
      </c>
      <c r="D4" s="11" t="s">
        <v>15</v>
      </c>
      <c r="E4" s="11" t="s">
        <v>15</v>
      </c>
      <c r="F4" s="11" t="s">
        <v>15</v>
      </c>
      <c r="G4" s="11" t="s">
        <v>15</v>
      </c>
      <c r="H4" s="11" t="s">
        <v>15</v>
      </c>
      <c r="I4" s="11" t="s">
        <v>15</v>
      </c>
      <c r="J4" s="11"/>
      <c r="K4" s="11"/>
      <c r="L4" s="11"/>
      <c r="M4" s="11"/>
      <c r="N4" s="11"/>
      <c r="O4" s="11"/>
      <c r="P4" s="11" t="s">
        <v>15</v>
      </c>
      <c r="Q4" s="11"/>
      <c r="R4" s="11"/>
      <c r="S4" s="11"/>
      <c r="T4" s="11"/>
      <c r="U4" s="11"/>
      <c r="V4" s="11"/>
      <c r="W4" s="11"/>
      <c r="X4" s="11" t="s">
        <v>15</v>
      </c>
      <c r="Y4" s="11"/>
      <c r="Z4" s="11"/>
      <c r="AA4" s="11"/>
      <c r="AB4" s="11" t="s">
        <v>15</v>
      </c>
      <c r="AC4" s="11" t="s">
        <v>15</v>
      </c>
      <c r="AD4" s="11" t="s">
        <v>15</v>
      </c>
      <c r="AE4" s="11" t="s">
        <v>15</v>
      </c>
      <c r="AF4" s="11"/>
      <c r="AG4" s="11"/>
      <c r="AH4" s="11"/>
      <c r="AI4" s="11"/>
      <c r="AJ4" s="11"/>
      <c r="AK4" s="11" t="s">
        <v>15</v>
      </c>
      <c r="AL4" s="11"/>
      <c r="AM4" s="11"/>
      <c r="AN4" s="11"/>
      <c r="AO4" s="18"/>
      <c r="AP4" s="11"/>
      <c r="AQ4" s="18"/>
      <c r="AR4" s="11" t="s">
        <v>15</v>
      </c>
      <c r="AS4" s="11"/>
      <c r="AT4" s="11"/>
      <c r="AU4" s="11" t="s">
        <v>15</v>
      </c>
      <c r="AV4" s="11" t="s">
        <v>15</v>
      </c>
      <c r="AW4" s="11" t="s">
        <v>15</v>
      </c>
      <c r="AX4" s="11" t="s">
        <v>15</v>
      </c>
      <c r="AY4" s="11" t="s">
        <v>15</v>
      </c>
      <c r="AZ4" s="18"/>
      <c r="BA4" s="11"/>
      <c r="BB4" s="11"/>
      <c r="BC4" s="11"/>
      <c r="BD4" s="11"/>
      <c r="BE4" s="11" t="s">
        <v>15</v>
      </c>
      <c r="BF4" s="11"/>
      <c r="BG4" s="11"/>
      <c r="BH4" s="11"/>
      <c r="BI4" s="11"/>
      <c r="BJ4" s="11"/>
      <c r="BK4" s="11"/>
      <c r="BL4" s="11"/>
      <c r="BM4" s="11"/>
      <c r="BN4" s="14" t="s">
        <v>15</v>
      </c>
      <c r="BO4" s="11"/>
      <c r="BP4" s="15" t="s">
        <v>15</v>
      </c>
      <c r="BQ4" s="11"/>
      <c r="BR4" s="11"/>
      <c r="BS4" s="11"/>
      <c r="BT4" s="11" t="s">
        <v>15</v>
      </c>
      <c r="BU4" s="11"/>
      <c r="BV4" s="16" t="s">
        <v>15</v>
      </c>
      <c r="BW4" s="11"/>
      <c r="BX4" s="17" t="s">
        <v>15</v>
      </c>
      <c r="BY4" s="11" t="s">
        <v>15</v>
      </c>
      <c r="BZ4" s="11"/>
      <c r="CA4" s="11" t="s">
        <v>15</v>
      </c>
      <c r="CB4" s="11"/>
      <c r="CC4" s="11"/>
      <c r="CD4" s="11"/>
      <c r="CE4" s="11"/>
      <c r="CF4" s="13" t="s">
        <v>15</v>
      </c>
      <c r="CG4" s="11"/>
      <c r="CH4" s="11"/>
      <c r="CI4" s="12" t="s">
        <v>15</v>
      </c>
    </row>
    <row r="5" spans="1:93" x14ac:dyDescent="0.45">
      <c r="B5" s="1">
        <f>COUNTIF(C4:CI5,"")</f>
        <v>106</v>
      </c>
      <c r="C5" s="11" t="s">
        <v>15</v>
      </c>
      <c r="D5" s="11" t="s">
        <v>15</v>
      </c>
      <c r="E5" s="11" t="s">
        <v>15</v>
      </c>
      <c r="F5" s="11" t="s">
        <v>15</v>
      </c>
      <c r="G5" s="11" t="s">
        <v>15</v>
      </c>
      <c r="H5" s="11" t="s">
        <v>15</v>
      </c>
      <c r="I5" s="11" t="s">
        <v>15</v>
      </c>
      <c r="J5" s="11"/>
      <c r="K5" s="11"/>
      <c r="L5" s="11" t="s">
        <v>15</v>
      </c>
      <c r="M5" s="11"/>
      <c r="N5" s="11"/>
      <c r="O5" s="11" t="s">
        <v>15</v>
      </c>
      <c r="P5" s="11" t="s">
        <v>15</v>
      </c>
      <c r="Q5" s="11"/>
      <c r="R5" s="11"/>
      <c r="S5" s="11"/>
      <c r="T5" s="11"/>
      <c r="U5" s="11"/>
      <c r="V5" s="11" t="s">
        <v>15</v>
      </c>
      <c r="W5" s="11" t="s">
        <v>15</v>
      </c>
      <c r="X5" s="11"/>
      <c r="Y5" s="11"/>
      <c r="Z5" s="11"/>
      <c r="AA5" s="11"/>
      <c r="AB5" s="11" t="s">
        <v>15</v>
      </c>
      <c r="AC5" s="11" t="s">
        <v>15</v>
      </c>
      <c r="AD5" s="11" t="s">
        <v>15</v>
      </c>
      <c r="AE5" s="20" t="s">
        <v>15</v>
      </c>
      <c r="AF5" s="11"/>
      <c r="AG5" s="11"/>
      <c r="AH5" s="11"/>
      <c r="AI5" s="11"/>
      <c r="AJ5" s="11" t="s">
        <v>15</v>
      </c>
      <c r="AK5" s="11" t="s">
        <v>15</v>
      </c>
      <c r="AL5" s="11"/>
      <c r="AM5" s="11"/>
      <c r="AN5" s="18"/>
      <c r="AO5" s="11"/>
      <c r="AP5" s="11"/>
      <c r="AQ5" s="11" t="s">
        <v>15</v>
      </c>
      <c r="AR5" s="11" t="s">
        <v>15</v>
      </c>
      <c r="AS5" s="11"/>
      <c r="AT5" s="11"/>
      <c r="AU5" s="20" t="s">
        <v>15</v>
      </c>
      <c r="AV5" s="11" t="s">
        <v>15</v>
      </c>
      <c r="AW5" s="11" t="s">
        <v>15</v>
      </c>
      <c r="AX5" s="11" t="s">
        <v>15</v>
      </c>
      <c r="AY5" s="11" t="s">
        <v>15</v>
      </c>
      <c r="AZ5" s="11"/>
      <c r="BA5" s="11"/>
      <c r="BB5" s="11"/>
      <c r="BC5" s="11"/>
      <c r="BD5" s="18"/>
      <c r="BE5" s="11" t="s">
        <v>15</v>
      </c>
      <c r="BF5" s="11"/>
      <c r="BG5" s="11"/>
      <c r="BH5" s="11"/>
      <c r="BI5" s="18"/>
      <c r="BJ5" s="11"/>
      <c r="BK5" s="18"/>
      <c r="BL5" s="11"/>
      <c r="BM5" s="11"/>
      <c r="BN5" s="14" t="s">
        <v>15</v>
      </c>
      <c r="BO5" s="11"/>
      <c r="BP5" s="15" t="s">
        <v>15</v>
      </c>
      <c r="BQ5" s="11"/>
      <c r="BR5" s="11"/>
      <c r="BS5" s="11"/>
      <c r="BT5" s="11" t="s">
        <v>15</v>
      </c>
      <c r="BU5" s="11"/>
      <c r="BV5" s="16" t="s">
        <v>15</v>
      </c>
      <c r="BW5" s="11"/>
      <c r="BX5" s="17" t="s">
        <v>15</v>
      </c>
      <c r="BY5" s="11"/>
      <c r="BZ5" s="11"/>
      <c r="CA5" s="11" t="s">
        <v>15</v>
      </c>
      <c r="CB5" s="11"/>
      <c r="CC5" s="11"/>
      <c r="CD5" s="11"/>
      <c r="CE5" s="11"/>
      <c r="CF5" s="13" t="s">
        <v>15</v>
      </c>
      <c r="CG5" s="11"/>
      <c r="CH5" s="11"/>
      <c r="CI5" s="12" t="s">
        <v>15</v>
      </c>
      <c r="CL5" t="s">
        <v>11</v>
      </c>
      <c r="CN5" t="s">
        <v>13</v>
      </c>
      <c r="CO5" s="1" t="s">
        <v>12</v>
      </c>
    </row>
    <row r="6" spans="1:93" x14ac:dyDescent="0.45">
      <c r="CK6" s="3" t="s">
        <v>5</v>
      </c>
      <c r="CL6">
        <v>20</v>
      </c>
      <c r="CN6" s="10">
        <f>CL6/(SUM(CL6:CL11))</f>
        <v>0.19801980198019803</v>
      </c>
      <c r="CO6" s="9">
        <f>7/33</f>
        <v>0.21212121212121213</v>
      </c>
    </row>
    <row r="7" spans="1:93" x14ac:dyDescent="0.45">
      <c r="A7" s="21" t="s">
        <v>5</v>
      </c>
      <c r="B7" s="22" t="s">
        <v>11</v>
      </c>
      <c r="C7" s="22"/>
      <c r="D7" s="22"/>
      <c r="E7" s="22"/>
      <c r="F7" s="22"/>
      <c r="G7" s="22"/>
      <c r="H7" s="22"/>
      <c r="I7" s="22"/>
      <c r="J7" s="22" t="s">
        <v>15</v>
      </c>
      <c r="K7" s="22"/>
      <c r="L7" s="22"/>
      <c r="M7" s="22"/>
      <c r="N7" s="22"/>
      <c r="O7" s="22"/>
      <c r="P7" s="22"/>
      <c r="Q7" s="22"/>
      <c r="R7" s="22"/>
      <c r="S7" s="22"/>
      <c r="T7" s="22" t="s">
        <v>15</v>
      </c>
      <c r="U7" s="22"/>
      <c r="V7" s="22"/>
      <c r="W7" s="22" t="s">
        <v>15</v>
      </c>
      <c r="X7" s="22"/>
      <c r="Y7" s="22"/>
      <c r="Z7" s="22"/>
      <c r="AA7" s="22"/>
      <c r="AB7" s="22"/>
      <c r="AC7" s="22"/>
      <c r="AD7" s="22"/>
      <c r="AE7" s="22"/>
      <c r="AF7" s="22"/>
      <c r="AG7" s="22" t="s">
        <v>15</v>
      </c>
      <c r="AH7" s="22"/>
      <c r="AI7" s="22"/>
      <c r="AJ7" s="22"/>
      <c r="AK7" s="22"/>
      <c r="AL7" s="22"/>
      <c r="AM7" s="22"/>
      <c r="AN7" s="22"/>
      <c r="AO7" s="22" t="s">
        <v>15</v>
      </c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 t="s">
        <v>15</v>
      </c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 t="s">
        <v>15</v>
      </c>
      <c r="CC7" s="22"/>
      <c r="CD7" s="22" t="s">
        <v>15</v>
      </c>
      <c r="CE7" s="22" t="s">
        <v>15</v>
      </c>
      <c r="CF7" s="22"/>
      <c r="CG7" s="22"/>
      <c r="CH7" s="22"/>
      <c r="CI7" s="29"/>
      <c r="CK7" s="4" t="s">
        <v>6</v>
      </c>
      <c r="CL7">
        <v>18</v>
      </c>
      <c r="CN7" s="10">
        <f>CL7/(SUM(CL6:CL11))</f>
        <v>0.17821782178217821</v>
      </c>
      <c r="CO7" s="9">
        <f>6/33</f>
        <v>0.18181818181818182</v>
      </c>
    </row>
    <row r="8" spans="1:93" x14ac:dyDescent="0.45">
      <c r="A8" s="24"/>
      <c r="B8" s="25">
        <f>COUNTIF(C7:CI8,"x")</f>
        <v>20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 t="s">
        <v>15</v>
      </c>
      <c r="O8" s="25"/>
      <c r="P8" s="25"/>
      <c r="Q8" s="25" t="s">
        <v>15</v>
      </c>
      <c r="R8" s="25"/>
      <c r="S8" s="25"/>
      <c r="T8" s="25"/>
      <c r="U8" s="25"/>
      <c r="V8" s="25"/>
      <c r="W8" s="25"/>
      <c r="X8" s="25"/>
      <c r="Y8" s="25"/>
      <c r="Z8" s="25"/>
      <c r="AA8" s="25" t="s">
        <v>15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 t="s">
        <v>15</v>
      </c>
      <c r="AM8" s="25"/>
      <c r="AN8" s="25"/>
      <c r="AO8" s="25"/>
      <c r="AP8" s="25"/>
      <c r="AQ8" s="25"/>
      <c r="AR8" s="25"/>
      <c r="AS8" s="25"/>
      <c r="AT8" s="25"/>
      <c r="AU8" s="26"/>
      <c r="AV8" s="26"/>
      <c r="AW8" s="26"/>
      <c r="AX8" s="26"/>
      <c r="AY8" s="26"/>
      <c r="AZ8" s="25" t="s">
        <v>15</v>
      </c>
      <c r="BA8" s="25"/>
      <c r="BB8" s="25"/>
      <c r="BC8" s="25"/>
      <c r="BD8" s="25"/>
      <c r="BE8" s="25"/>
      <c r="BF8" s="25"/>
      <c r="BG8" s="25" t="s">
        <v>15</v>
      </c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 t="s">
        <v>15</v>
      </c>
      <c r="BZ8" s="25" t="s">
        <v>15</v>
      </c>
      <c r="CA8" s="25"/>
      <c r="CB8" s="25"/>
      <c r="CC8" s="25" t="s">
        <v>15</v>
      </c>
      <c r="CD8" s="25" t="s">
        <v>15</v>
      </c>
      <c r="CE8" s="25" t="s">
        <v>15</v>
      </c>
      <c r="CF8" s="25"/>
      <c r="CG8" s="25"/>
      <c r="CH8" s="25"/>
      <c r="CI8" s="30"/>
      <c r="CK8" s="5" t="s">
        <v>7</v>
      </c>
      <c r="CL8">
        <v>18</v>
      </c>
      <c r="CN8" s="10">
        <f>CL8/(SUM(CL6:CL11))</f>
        <v>0.17821782178217821</v>
      </c>
      <c r="CO8" s="9">
        <f>6/33</f>
        <v>0.18181818181818182</v>
      </c>
    </row>
    <row r="9" spans="1:93" x14ac:dyDescent="0.45">
      <c r="AU9"/>
      <c r="AV9"/>
      <c r="AW9"/>
      <c r="AX9"/>
      <c r="AY9"/>
      <c r="CK9" s="6" t="s">
        <v>8</v>
      </c>
      <c r="CL9">
        <v>16</v>
      </c>
      <c r="CN9" s="10">
        <f>CL9/(SUM(CL6:CL11))</f>
        <v>0.15841584158415842</v>
      </c>
      <c r="CO9" s="9">
        <f>5/33</f>
        <v>0.15151515151515152</v>
      </c>
    </row>
    <row r="10" spans="1:93" x14ac:dyDescent="0.45">
      <c r="A10" s="27" t="s">
        <v>6</v>
      </c>
      <c r="B10" s="22" t="s">
        <v>11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 t="s">
        <v>15</v>
      </c>
      <c r="N10" s="22"/>
      <c r="O10" s="22"/>
      <c r="P10" s="22"/>
      <c r="Q10" s="22"/>
      <c r="R10" s="22"/>
      <c r="S10" s="22"/>
      <c r="T10" s="22"/>
      <c r="U10" s="22" t="s">
        <v>15</v>
      </c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 t="s">
        <v>15</v>
      </c>
      <c r="AM10" s="22"/>
      <c r="AN10" s="22"/>
      <c r="AO10" s="22"/>
      <c r="AP10" s="22"/>
      <c r="AQ10" s="22"/>
      <c r="AR10" s="22"/>
      <c r="AS10" s="22"/>
      <c r="AT10" s="22"/>
      <c r="AU10" s="23"/>
      <c r="AV10" s="23"/>
      <c r="AW10" s="23"/>
      <c r="AX10" s="23"/>
      <c r="AY10" s="23"/>
      <c r="AZ10" s="22"/>
      <c r="BA10" s="22"/>
      <c r="BB10" s="22"/>
      <c r="BC10" s="22"/>
      <c r="BD10" s="22"/>
      <c r="BE10" s="22"/>
      <c r="BF10" s="22" t="s">
        <v>15</v>
      </c>
      <c r="BG10" s="22"/>
      <c r="BH10" s="22" t="s">
        <v>15</v>
      </c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 t="s">
        <v>15</v>
      </c>
      <c r="CA10" s="22"/>
      <c r="CB10" s="22"/>
      <c r="CC10" s="22" t="s">
        <v>15</v>
      </c>
      <c r="CD10" s="22"/>
      <c r="CE10" s="22"/>
      <c r="CF10" s="22"/>
      <c r="CG10" s="22" t="s">
        <v>15</v>
      </c>
      <c r="CH10" s="22" t="s">
        <v>15</v>
      </c>
      <c r="CI10" s="29"/>
      <c r="CK10" s="7" t="s">
        <v>9</v>
      </c>
      <c r="CL10">
        <v>14</v>
      </c>
      <c r="CN10" s="10">
        <f>CL10/(SUM(CL6:CL11))</f>
        <v>0.13861386138613863</v>
      </c>
      <c r="CO10" s="9">
        <f>5/33</f>
        <v>0.15151515151515152</v>
      </c>
    </row>
    <row r="11" spans="1:93" x14ac:dyDescent="0.45">
      <c r="A11" s="28"/>
      <c r="B11" s="25">
        <f>COUNTIF(C10:CI11,"x")</f>
        <v>18</v>
      </c>
      <c r="C11" s="25"/>
      <c r="D11" s="25"/>
      <c r="E11" s="25"/>
      <c r="F11" s="25"/>
      <c r="G11" s="25"/>
      <c r="H11" s="25"/>
      <c r="I11" s="25"/>
      <c r="J11" s="25" t="s">
        <v>15</v>
      </c>
      <c r="K11" s="25"/>
      <c r="L11" s="25"/>
      <c r="M11" s="25"/>
      <c r="N11" s="25"/>
      <c r="O11" s="25"/>
      <c r="P11" s="25"/>
      <c r="Q11" s="25"/>
      <c r="R11" s="25" t="s">
        <v>15</v>
      </c>
      <c r="S11" s="25"/>
      <c r="T11" s="25"/>
      <c r="U11" s="25"/>
      <c r="V11" s="25"/>
      <c r="W11" s="25"/>
      <c r="X11" s="25"/>
      <c r="Y11" s="25"/>
      <c r="Z11" s="25" t="s">
        <v>15</v>
      </c>
      <c r="AA11" s="25"/>
      <c r="AB11" s="25"/>
      <c r="AC11" s="25"/>
      <c r="AD11" s="25"/>
      <c r="AE11" s="25"/>
      <c r="AF11" s="25"/>
      <c r="AG11" s="25"/>
      <c r="AH11" s="25" t="s">
        <v>15</v>
      </c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 t="s">
        <v>15</v>
      </c>
      <c r="AT11" s="25"/>
      <c r="AU11" s="26"/>
      <c r="AV11" s="26"/>
      <c r="AW11" s="26"/>
      <c r="AX11" s="26"/>
      <c r="AY11" s="26"/>
      <c r="AZ11" s="25"/>
      <c r="BA11" s="25"/>
      <c r="BB11" s="25"/>
      <c r="BC11" s="25" t="s">
        <v>15</v>
      </c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 t="s">
        <v>15</v>
      </c>
      <c r="CC11" s="25"/>
      <c r="CD11" s="25"/>
      <c r="CE11" s="25"/>
      <c r="CF11" s="25"/>
      <c r="CG11" s="25" t="s">
        <v>15</v>
      </c>
      <c r="CH11" s="25" t="s">
        <v>15</v>
      </c>
      <c r="CI11" s="30"/>
      <c r="CK11" s="8" t="s">
        <v>10</v>
      </c>
      <c r="CL11">
        <v>15</v>
      </c>
      <c r="CN11" s="10">
        <f>CL11/(SUM(CL6:CL11))</f>
        <v>0.14851485148514851</v>
      </c>
      <c r="CO11" s="9">
        <f>4/33</f>
        <v>0.12121212121212122</v>
      </c>
    </row>
    <row r="12" spans="1:93" x14ac:dyDescent="0.45">
      <c r="AU12"/>
      <c r="AV12"/>
      <c r="AW12"/>
      <c r="AX12"/>
      <c r="AY12"/>
    </row>
    <row r="13" spans="1:93" x14ac:dyDescent="0.45">
      <c r="A13" s="31" t="s">
        <v>7</v>
      </c>
      <c r="B13" s="22" t="s">
        <v>11</v>
      </c>
      <c r="C13" s="22"/>
      <c r="D13" s="22"/>
      <c r="E13" s="22"/>
      <c r="F13" s="22"/>
      <c r="G13" s="22"/>
      <c r="H13" s="22"/>
      <c r="I13" s="22"/>
      <c r="J13" s="22"/>
      <c r="K13" s="22" t="s">
        <v>15</v>
      </c>
      <c r="L13" s="22"/>
      <c r="M13" s="22"/>
      <c r="N13" s="22"/>
      <c r="O13" s="22" t="s">
        <v>15</v>
      </c>
      <c r="P13" s="22"/>
      <c r="Q13" s="22"/>
      <c r="R13" s="22" t="s">
        <v>15</v>
      </c>
      <c r="S13" s="22"/>
      <c r="T13" s="22"/>
      <c r="U13" s="22"/>
      <c r="V13" s="22" t="s">
        <v>15</v>
      </c>
      <c r="W13" s="22"/>
      <c r="X13" s="22"/>
      <c r="Y13" s="22"/>
      <c r="Z13" s="22"/>
      <c r="AA13" s="22" t="s">
        <v>15</v>
      </c>
      <c r="AB13" s="22"/>
      <c r="AC13" s="22"/>
      <c r="AD13" s="22"/>
      <c r="AE13" s="22"/>
      <c r="AF13" s="22"/>
      <c r="AG13" s="22"/>
      <c r="AH13" s="22"/>
      <c r="AI13" s="22" t="s">
        <v>15</v>
      </c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 t="s">
        <v>15</v>
      </c>
      <c r="AU13" s="23"/>
      <c r="AV13" s="23"/>
      <c r="AW13" s="23"/>
      <c r="AX13" s="23"/>
      <c r="AY13" s="23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15</v>
      </c>
      <c r="BK13" s="22"/>
      <c r="BL13" s="22"/>
      <c r="BM13" s="22" t="s">
        <v>15</v>
      </c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9"/>
      <c r="CK13" t="s">
        <v>14</v>
      </c>
      <c r="CL13">
        <v>5</v>
      </c>
    </row>
    <row r="14" spans="1:93" x14ac:dyDescent="0.45">
      <c r="A14" s="32"/>
      <c r="B14" s="25">
        <f>COUNTIF(C13:CI14,"x")</f>
        <v>18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 t="s">
        <v>15</v>
      </c>
      <c r="U14" s="25"/>
      <c r="V14" s="25"/>
      <c r="W14" s="25"/>
      <c r="X14" s="25"/>
      <c r="Y14" s="25" t="s">
        <v>15</v>
      </c>
      <c r="Z14" s="25"/>
      <c r="AA14" s="25"/>
      <c r="AB14" s="25"/>
      <c r="AC14" s="25" t="s">
        <v>17</v>
      </c>
      <c r="AD14" s="25"/>
      <c r="AE14" s="25"/>
      <c r="AF14" s="25"/>
      <c r="AG14" s="25" t="s">
        <v>15</v>
      </c>
      <c r="AH14" s="25"/>
      <c r="AI14" s="25"/>
      <c r="AJ14" s="25"/>
      <c r="AK14" s="25"/>
      <c r="AL14" s="25"/>
      <c r="AM14" s="25" t="s">
        <v>15</v>
      </c>
      <c r="AN14" s="25"/>
      <c r="AO14" s="25" t="s">
        <v>15</v>
      </c>
      <c r="AP14" s="25"/>
      <c r="AQ14" s="25"/>
      <c r="AR14" s="25"/>
      <c r="AS14" s="25"/>
      <c r="AT14" s="25"/>
      <c r="AU14" s="26"/>
      <c r="AV14" s="26"/>
      <c r="AW14" s="26"/>
      <c r="AX14" s="26"/>
      <c r="AY14" s="26"/>
      <c r="AZ14" s="25"/>
      <c r="BA14" s="25" t="s">
        <v>15</v>
      </c>
      <c r="BB14" s="25"/>
      <c r="BC14" s="25"/>
      <c r="BD14" s="25" t="s">
        <v>15</v>
      </c>
      <c r="BE14" s="25"/>
      <c r="BF14" s="25"/>
      <c r="BG14" s="25"/>
      <c r="BH14" s="25"/>
      <c r="BI14" s="25"/>
      <c r="BJ14" s="25"/>
      <c r="BK14" s="25"/>
      <c r="BL14" s="25" t="s">
        <v>15</v>
      </c>
      <c r="BM14" s="25" t="s">
        <v>15</v>
      </c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30"/>
    </row>
    <row r="15" spans="1:93" x14ac:dyDescent="0.45">
      <c r="AU15"/>
      <c r="AV15"/>
      <c r="AX15"/>
      <c r="AY15"/>
      <c r="CL15">
        <f>SUM(CL6:CL13)</f>
        <v>106</v>
      </c>
    </row>
    <row r="16" spans="1:93" x14ac:dyDescent="0.45">
      <c r="A16" s="33" t="s">
        <v>8</v>
      </c>
      <c r="B16" s="22" t="s">
        <v>11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 t="s">
        <v>15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15</v>
      </c>
      <c r="AI16" s="22"/>
      <c r="AJ16" s="22"/>
      <c r="AK16" s="22"/>
      <c r="AL16" s="22"/>
      <c r="AM16" s="22" t="s">
        <v>15</v>
      </c>
      <c r="AN16" s="22"/>
      <c r="AO16" s="22"/>
      <c r="AP16" s="22"/>
      <c r="AQ16" s="22"/>
      <c r="AR16" s="22"/>
      <c r="AS16" s="22"/>
      <c r="AT16" s="22"/>
      <c r="AU16" s="23"/>
      <c r="AV16" s="23"/>
      <c r="AW16" s="23"/>
      <c r="AX16" s="23"/>
      <c r="AY16" s="23"/>
      <c r="AZ16" s="22"/>
      <c r="BA16" s="22" t="s">
        <v>15</v>
      </c>
      <c r="BB16" s="22"/>
      <c r="BC16" s="22" t="s">
        <v>15</v>
      </c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 t="s">
        <v>15</v>
      </c>
      <c r="BR16" s="22"/>
      <c r="BS16" s="22" t="s">
        <v>15</v>
      </c>
      <c r="BT16" s="22"/>
      <c r="BU16" s="22" t="s">
        <v>15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9"/>
    </row>
    <row r="17" spans="1:89" x14ac:dyDescent="0.45">
      <c r="A17" s="34"/>
      <c r="B17" s="25">
        <f>COUNTIF(C16:CI17,"x")</f>
        <v>16</v>
      </c>
      <c r="C17" s="25"/>
      <c r="D17" s="25"/>
      <c r="E17" s="25"/>
      <c r="F17" s="25"/>
      <c r="G17" s="25"/>
      <c r="H17" s="25"/>
      <c r="I17" s="25"/>
      <c r="J17" s="25"/>
      <c r="K17" s="25" t="s">
        <v>15</v>
      </c>
      <c r="L17" s="25"/>
      <c r="M17" s="25"/>
      <c r="N17" s="25"/>
      <c r="O17" s="25"/>
      <c r="P17" s="25"/>
      <c r="Q17" s="25"/>
      <c r="R17" s="25"/>
      <c r="S17" s="25" t="s">
        <v>15</v>
      </c>
      <c r="T17" s="25"/>
      <c r="U17" s="25"/>
      <c r="V17" s="25"/>
      <c r="W17" s="25"/>
      <c r="X17" s="25" t="s">
        <v>15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 t="s">
        <v>15</v>
      </c>
      <c r="AQ17" s="25"/>
      <c r="AR17" s="25"/>
      <c r="AS17" s="25"/>
      <c r="AT17" s="25" t="s">
        <v>15</v>
      </c>
      <c r="AU17" s="26"/>
      <c r="AV17" s="26"/>
      <c r="AW17" s="26"/>
      <c r="AX17" s="26"/>
      <c r="AY17" s="26"/>
      <c r="AZ17" s="25"/>
      <c r="BA17" s="25"/>
      <c r="BB17" s="25"/>
      <c r="BC17" s="25"/>
      <c r="BD17" s="25"/>
      <c r="BE17" s="25"/>
      <c r="BF17" s="25"/>
      <c r="BG17" s="25"/>
      <c r="BH17" s="25" t="s">
        <v>15</v>
      </c>
      <c r="BI17" s="25"/>
      <c r="BJ17" s="25"/>
      <c r="BK17" s="25"/>
      <c r="BL17" s="25"/>
      <c r="BM17" s="25"/>
      <c r="BN17" s="25"/>
      <c r="BO17" s="25"/>
      <c r="BP17" s="25"/>
      <c r="BQ17" s="25"/>
      <c r="BR17" s="25" t="s">
        <v>15</v>
      </c>
      <c r="BS17" s="25"/>
      <c r="BT17" s="25"/>
      <c r="BU17" s="25" t="s">
        <v>15</v>
      </c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30"/>
    </row>
    <row r="18" spans="1:89" x14ac:dyDescent="0.45">
      <c r="AU18"/>
      <c r="AV18"/>
      <c r="AW18"/>
      <c r="AX18"/>
      <c r="AY18"/>
      <c r="CK18" t="s">
        <v>16</v>
      </c>
    </row>
    <row r="19" spans="1:89" x14ac:dyDescent="0.45">
      <c r="A19" s="35" t="s">
        <v>9</v>
      </c>
      <c r="B19" s="22" t="s">
        <v>11</v>
      </c>
      <c r="C19" s="22"/>
      <c r="D19" s="22"/>
      <c r="E19" s="22"/>
      <c r="F19" s="22"/>
      <c r="G19" s="22"/>
      <c r="H19" s="22"/>
      <c r="I19" s="22"/>
      <c r="J19" s="22"/>
      <c r="K19" s="22"/>
      <c r="L19" s="22" t="s">
        <v>15</v>
      </c>
      <c r="M19" s="22"/>
      <c r="N19" s="22"/>
      <c r="O19" s="22"/>
      <c r="P19" s="22"/>
      <c r="Q19" s="22"/>
      <c r="R19" s="22"/>
      <c r="S19" s="22" t="s">
        <v>15</v>
      </c>
      <c r="T19" s="22"/>
      <c r="U19" s="22"/>
      <c r="V19" s="22"/>
      <c r="W19" s="22"/>
      <c r="X19" s="22"/>
      <c r="Y19" s="22"/>
      <c r="Z19" s="22" t="s">
        <v>15</v>
      </c>
      <c r="AA19" s="22"/>
      <c r="AB19" s="22"/>
      <c r="AC19" s="22"/>
      <c r="AD19" s="22"/>
      <c r="AE19" s="22"/>
      <c r="AF19" s="22"/>
      <c r="AG19" s="22"/>
      <c r="AH19" s="22"/>
      <c r="AI19" s="22"/>
      <c r="AJ19" s="22" t="s">
        <v>15</v>
      </c>
      <c r="AK19" s="22"/>
      <c r="AL19" s="22"/>
      <c r="AM19" s="22"/>
      <c r="AN19" s="22"/>
      <c r="AO19" s="22"/>
      <c r="AP19" s="22" t="s">
        <v>15</v>
      </c>
      <c r="AQ19" s="22"/>
      <c r="AR19" s="22"/>
      <c r="AS19" s="22"/>
      <c r="AT19" s="22"/>
      <c r="AU19" s="23"/>
      <c r="AV19" s="23"/>
      <c r="AW19" s="23"/>
      <c r="AX19" s="23"/>
      <c r="AY19" s="23"/>
      <c r="AZ19" s="22"/>
      <c r="BA19" s="22"/>
      <c r="BB19" s="22" t="s">
        <v>15</v>
      </c>
      <c r="BC19" s="22"/>
      <c r="BD19" s="22"/>
      <c r="BE19" s="22"/>
      <c r="BF19" s="22"/>
      <c r="BG19" s="22" t="s">
        <v>15</v>
      </c>
      <c r="BH19" s="22"/>
      <c r="BI19" s="22" t="s">
        <v>15</v>
      </c>
      <c r="BJ19" s="22"/>
      <c r="BK19" s="22"/>
      <c r="BL19" s="22"/>
      <c r="BM19" s="22"/>
      <c r="BN19" s="22"/>
      <c r="BO19" s="22"/>
      <c r="BP19" s="22"/>
      <c r="BQ19" s="22"/>
      <c r="BR19" s="22" t="s">
        <v>15</v>
      </c>
      <c r="BS19" s="22"/>
      <c r="BT19" s="22"/>
      <c r="BU19" s="22"/>
      <c r="BV19" s="22"/>
      <c r="BW19" s="22" t="s">
        <v>15</v>
      </c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9"/>
    </row>
    <row r="20" spans="1:89" x14ac:dyDescent="0.45">
      <c r="A20" s="36"/>
      <c r="B20" s="25">
        <f>COUNTIF(C19:CI20,"x")</f>
        <v>14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 t="s">
        <v>15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6"/>
      <c r="AV20" s="26"/>
      <c r="AW20" s="26"/>
      <c r="AX20" s="26"/>
      <c r="AY20" s="26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 t="s">
        <v>15</v>
      </c>
      <c r="BR20" s="25"/>
      <c r="BS20" s="25" t="s">
        <v>15</v>
      </c>
      <c r="BT20" s="25"/>
      <c r="BU20" s="25"/>
      <c r="BV20" s="25"/>
      <c r="BW20" s="25" t="s">
        <v>15</v>
      </c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30"/>
    </row>
    <row r="21" spans="1:89" x14ac:dyDescent="0.45">
      <c r="AU21"/>
      <c r="AV21"/>
      <c r="AW21"/>
      <c r="AX21"/>
      <c r="AY21"/>
    </row>
    <row r="22" spans="1:89" x14ac:dyDescent="0.45">
      <c r="A22" s="37" t="s">
        <v>10</v>
      </c>
      <c r="B22" s="22" t="s">
        <v>11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 t="s">
        <v>15</v>
      </c>
      <c r="R22" s="22"/>
      <c r="S22" s="22"/>
      <c r="T22" s="22"/>
      <c r="U22" s="22"/>
      <c r="V22" s="22"/>
      <c r="W22" s="22"/>
      <c r="X22" s="22"/>
      <c r="Y22" s="22" t="s">
        <v>15</v>
      </c>
      <c r="Z22" s="22"/>
      <c r="AA22" s="22"/>
      <c r="AB22" s="22"/>
      <c r="AC22" s="22"/>
      <c r="AD22" s="22"/>
      <c r="AE22" s="22"/>
      <c r="AF22" s="22" t="s">
        <v>15</v>
      </c>
      <c r="AG22" s="22"/>
      <c r="AH22" s="22"/>
      <c r="AI22" s="22"/>
      <c r="AJ22" s="22"/>
      <c r="AK22" s="22"/>
      <c r="AL22" s="22"/>
      <c r="AM22" s="22"/>
      <c r="AN22" s="22" t="s">
        <v>15</v>
      </c>
      <c r="AO22" s="22"/>
      <c r="AP22" s="22"/>
      <c r="AQ22" s="22"/>
      <c r="AR22" s="22"/>
      <c r="AS22" s="22" t="s">
        <v>15</v>
      </c>
      <c r="AT22" s="22"/>
      <c r="AU22" s="23"/>
      <c r="AV22" s="23"/>
      <c r="AW22" s="23"/>
      <c r="AX22" s="23"/>
      <c r="AY22" s="23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 t="s">
        <v>15</v>
      </c>
      <c r="BL22" s="22" t="s">
        <v>15</v>
      </c>
      <c r="BM22" s="22"/>
      <c r="BN22" s="22"/>
      <c r="BO22" s="22" t="s">
        <v>15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9"/>
    </row>
    <row r="23" spans="1:89" x14ac:dyDescent="0.45">
      <c r="A23" s="38"/>
      <c r="B23" s="25">
        <f>COUNTIF(C22:CI23,"x")</f>
        <v>15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 t="s">
        <v>15</v>
      </c>
      <c r="N23" s="25"/>
      <c r="O23" s="25"/>
      <c r="P23" s="25"/>
      <c r="Q23" s="25"/>
      <c r="R23" s="25"/>
      <c r="S23" s="25"/>
      <c r="T23" s="25"/>
      <c r="U23" s="25" t="s">
        <v>15</v>
      </c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 t="s">
        <v>15</v>
      </c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6"/>
      <c r="AV23" s="26"/>
      <c r="AW23" s="26"/>
      <c r="AX23" s="26"/>
      <c r="AY23" s="26"/>
      <c r="AZ23" s="25"/>
      <c r="BA23" s="25"/>
      <c r="BB23" s="25" t="s">
        <v>15</v>
      </c>
      <c r="BC23" s="25"/>
      <c r="BD23" s="25"/>
      <c r="BE23" s="25"/>
      <c r="BF23" s="25" t="s">
        <v>15</v>
      </c>
      <c r="BG23" s="25"/>
      <c r="BH23" s="25"/>
      <c r="BI23" s="25"/>
      <c r="BJ23" s="25" t="s">
        <v>15</v>
      </c>
      <c r="BK23" s="25"/>
      <c r="BL23" s="25"/>
      <c r="BM23" s="25"/>
      <c r="BN23" s="25"/>
      <c r="BO23" s="25" t="s">
        <v>15</v>
      </c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30"/>
    </row>
    <row r="29" spans="1:89" x14ac:dyDescent="0.45">
      <c r="A29"/>
    </row>
    <row r="30" spans="1:89" x14ac:dyDescent="0.45">
      <c r="A30"/>
    </row>
    <row r="31" spans="1:89" x14ac:dyDescent="0.45">
      <c r="A31"/>
    </row>
    <row r="32" spans="1:89" x14ac:dyDescent="0.45">
      <c r="A32"/>
    </row>
    <row r="33" spans="1:1" x14ac:dyDescent="0.45">
      <c r="A33"/>
    </row>
    <row r="34" spans="1:1" x14ac:dyDescent="0.45">
      <c r="A34"/>
    </row>
  </sheetData>
  <mergeCells count="6">
    <mergeCell ref="A22:A23"/>
    <mergeCell ref="A7:A8"/>
    <mergeCell ref="A10:A11"/>
    <mergeCell ref="A13:A14"/>
    <mergeCell ref="A16:A17"/>
    <mergeCell ref="A19:A20"/>
  </mergeCells>
  <conditionalFormatting sqref="D4:N4 P4:T4 V4:Z4 AB4:AF4 AH4:AL4 AN4:AR4 AZ4:BD4 BF4:BJ4 BL4:BP4 BR4:BV4 BX4:CB4 C4:G5 I4:M5 O4:S5 U4:Y5 AA4:AE5 AG4:AK5 AM4:AQ5 AY4:BC5 BE4:BI5 BK4:BO5 BQ4:BU5 BW4:CA5 CC4:CI5 AX4 AS4:AV5 C5:CI5">
    <cfRule type="expression" dxfId="17" priority="3">
      <formula>C16="x"</formula>
    </cfRule>
  </conditionalFormatting>
  <conditionalFormatting sqref="D4:N4 P4:T4 V4:Z4 AB4:AF4 AH4:AL4 AN4:AR4 AT4:AX4 AZ4:BD4 BF4:BJ4 BL4:BP4 BR4:BV4 BX4:CB4 CD4:CI4 C4:E5 I4:K5 O4:Q5 U4:W5 AA4:AC5 AG4:AI5 AM4:AO5 AS4:AU5 AY4:BA5 BE4:BG5 BK4:BM5 BQ4:BS5 BW4:BY5 CC4:CE5 CG4:CI5 C5:CI5">
    <cfRule type="expression" dxfId="16" priority="4">
      <formula>C13="x"</formula>
    </cfRule>
    <cfRule type="expression" dxfId="15" priority="5">
      <formula>C10="x"</formula>
    </cfRule>
  </conditionalFormatting>
  <conditionalFormatting sqref="U4 C4:T5 BU4:CI5 V4:BS5">
    <cfRule type="expression" dxfId="14" priority="1">
      <formula>C22="x"</formula>
    </cfRule>
    <cfRule type="expression" dxfId="13" priority="2">
      <formula>C19="x"</formula>
    </cfRule>
    <cfRule type="expression" dxfId="12" priority="6">
      <formula>C7="x"</formula>
    </cfRule>
    <cfRule type="expression" dxfId="11" priority="7">
      <formula>C7=x</formula>
    </cfRule>
  </conditionalFormatting>
  <conditionalFormatting sqref="U5">
    <cfRule type="expression" dxfId="10" priority="12">
      <formula>U23="x"</formula>
    </cfRule>
    <cfRule type="expression" dxfId="9" priority="13">
      <formula>U20="x"</formula>
    </cfRule>
    <cfRule type="expression" dxfId="8" priority="14">
      <formula>#REF!="x"</formula>
    </cfRule>
    <cfRule type="expression" dxfId="7" priority="15">
      <formula>#REF!=x</formula>
    </cfRule>
  </conditionalFormatting>
  <conditionalFormatting sqref="BT4">
    <cfRule type="expression" dxfId="6" priority="22">
      <formula>BT8="x"</formula>
    </cfRule>
    <cfRule type="expression" dxfId="5" priority="23">
      <formula>BT8=x</formula>
    </cfRule>
  </conditionalFormatting>
  <conditionalFormatting sqref="BT4:BT5">
    <cfRule type="expression" dxfId="4" priority="20">
      <formula>BT22="x"</formula>
    </cfRule>
    <cfRule type="expression" dxfId="3" priority="21">
      <formula>BT19="x"</formula>
    </cfRule>
  </conditionalFormatting>
  <conditionalFormatting sqref="BT5">
    <cfRule type="expression" dxfId="2" priority="26">
      <formula>#REF!="x"</formula>
    </cfRule>
    <cfRule type="expression" dxfId="1" priority="27">
      <formula>#REF!=x</formula>
    </cfRule>
  </conditionalFormatting>
  <conditionalFormatting sqref="AW4">
    <cfRule type="expression" dxfId="0" priority="29">
      <formula>#REF!="x"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634a6ec-a266-45a3-ab14-74c4211fc582}" enabled="0" method="" siteId="{9634a6ec-a266-45a3-ab14-74c4211fc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Kopp  Leonard</dc:creator>
  <cp:lastModifiedBy>Kopp  Leonard</cp:lastModifiedBy>
  <dcterms:created xsi:type="dcterms:W3CDTF">2024-04-18T20:15:09Z</dcterms:created>
  <dcterms:modified xsi:type="dcterms:W3CDTF">2026-06-03T11:19:44Z</dcterms:modified>
</cp:coreProperties>
</file>